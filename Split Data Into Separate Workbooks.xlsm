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 Code For Spit Workbook\"/>
    </mc:Choice>
  </mc:AlternateContent>
  <xr:revisionPtr revIDLastSave="0" documentId="13_ncr:1_{DEEC1806-E9AC-4D8A-8298-2D9AC69EDB92}" xr6:coauthVersionLast="36" xr6:coauthVersionMax="47" xr10:uidLastSave="{00000000-0000-0000-0000-000000000000}"/>
  <bookViews>
    <workbookView xWindow="-108" yWindow="-108" windowWidth="19416" windowHeight="10416" xr2:uid="{9F44FC6A-ECE2-40AC-98C6-503149613ABC}"/>
  </bookViews>
  <sheets>
    <sheet name="Data" sheetId="1" r:id="rId1"/>
  </sheets>
  <definedNames>
    <definedName name="_xlnm._FilterDatabase" localSheetId="0" hidden="1">Data!$A$1:$M$22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" i="1"/>
  <c r="H2" i="1" l="1"/>
  <c r="K2" i="1" s="1"/>
  <c r="H3" i="1"/>
  <c r="K3" i="1" s="1"/>
  <c r="K4" i="1"/>
  <c r="M4" i="1" s="1"/>
  <c r="H5" i="1"/>
  <c r="K5" i="1" s="1"/>
  <c r="K6" i="1"/>
  <c r="M6" i="1" s="1"/>
  <c r="H7" i="1"/>
  <c r="K7" i="1" s="1"/>
  <c r="H8" i="1"/>
  <c r="K8" i="1" s="1"/>
  <c r="K9" i="1"/>
  <c r="L9" i="1" s="1"/>
  <c r="M9" i="1" s="1"/>
  <c r="K10" i="1"/>
  <c r="M10" i="1" s="1"/>
  <c r="H11" i="1"/>
  <c r="K11" i="1" s="1"/>
  <c r="H12" i="1"/>
  <c r="K12" i="1" s="1"/>
  <c r="L12" i="1" s="1"/>
  <c r="K13" i="1"/>
  <c r="L13" i="1" s="1"/>
  <c r="K14" i="1"/>
  <c r="L14" i="1" s="1"/>
  <c r="H15" i="1"/>
  <c r="K15" i="1" s="1"/>
  <c r="K16" i="1"/>
  <c r="M16" i="1" s="1"/>
  <c r="H17" i="1"/>
  <c r="K17" i="1" s="1"/>
  <c r="H18" i="1"/>
  <c r="K18" i="1" s="1"/>
  <c r="K19" i="1"/>
  <c r="L19" i="1" s="1"/>
  <c r="M19" i="1" s="1"/>
  <c r="K20" i="1"/>
  <c r="L20" i="1" s="1"/>
  <c r="M20" i="1" s="1"/>
  <c r="H21" i="1"/>
  <c r="K21" i="1" s="1"/>
  <c r="K22" i="1"/>
  <c r="M22" i="1" s="1"/>
  <c r="L15" i="1" l="1"/>
  <c r="M15" i="1" s="1"/>
  <c r="L18" i="1"/>
  <c r="M18" i="1" s="1"/>
  <c r="L11" i="1"/>
  <c r="M11" i="1" s="1"/>
  <c r="L5" i="1"/>
  <c r="M5" i="1" s="1"/>
  <c r="L3" i="1"/>
  <c r="M3" i="1" s="1"/>
  <c r="L21" i="1"/>
  <c r="M21" i="1" s="1"/>
  <c r="L17" i="1"/>
  <c r="M17" i="1" s="1"/>
  <c r="L8" i="1"/>
  <c r="M8" i="1" s="1"/>
  <c r="L7" i="1"/>
  <c r="M7" i="1" s="1"/>
  <c r="L2" i="1"/>
  <c r="M2" i="1" s="1"/>
  <c r="M14" i="1"/>
  <c r="M13" i="1"/>
  <c r="M12" i="1"/>
</calcChain>
</file>

<file path=xl/sharedStrings.xml><?xml version="1.0" encoding="utf-8"?>
<sst xmlns="http://schemas.openxmlformats.org/spreadsheetml/2006/main" count="97" uniqueCount="35">
  <si>
    <t>Sr. No</t>
  </si>
  <si>
    <t>Dealer Code</t>
  </si>
  <si>
    <t>GST Number</t>
  </si>
  <si>
    <t>OUTLET NAME</t>
  </si>
  <si>
    <t>Description/Item</t>
  </si>
  <si>
    <t>WIDTH (IN)</t>
  </si>
  <si>
    <t>HEIGHT (IN)</t>
  </si>
  <si>
    <t>Total Sqft</t>
  </si>
  <si>
    <t>QTY</t>
  </si>
  <si>
    <t>Rate</t>
  </si>
  <si>
    <t>Gross Amount</t>
  </si>
  <si>
    <t>15% Transportation and packaging</t>
  </si>
  <si>
    <t>Total</t>
  </si>
  <si>
    <t>Q3-465</t>
  </si>
  <si>
    <t>05AAPPJ7314M1ZD</t>
  </si>
  <si>
    <t>Anshika Eneterpries</t>
  </si>
  <si>
    <t>ACP Backlit signage</t>
  </si>
  <si>
    <t>Fan display unit</t>
  </si>
  <si>
    <t>Recce Cost (Metro)</t>
  </si>
  <si>
    <t>Q3-462</t>
  </si>
  <si>
    <t>05ABBFM3471H1ZG</t>
  </si>
  <si>
    <t>Mr Electricals</t>
  </si>
  <si>
    <t>Q3-463</t>
  </si>
  <si>
    <t>05AFAPL9100P1ZE</t>
  </si>
  <si>
    <t>Hari Electricals</t>
  </si>
  <si>
    <t>ACP SIGNAGE with Top pelmet &amp; Lit Letters</t>
  </si>
  <si>
    <t>Corrugated sheet</t>
  </si>
  <si>
    <t>Ceiling lights</t>
  </si>
  <si>
    <t>Q3-461</t>
  </si>
  <si>
    <t>05AUKPC9769J1Z3</t>
  </si>
  <si>
    <t>Shree Ram Electricals</t>
  </si>
  <si>
    <t>Iron angle for signage installation</t>
  </si>
  <si>
    <t>Q3-467</t>
  </si>
  <si>
    <t>05EDAPK0528L1ZP</t>
  </si>
  <si>
    <t xml:space="preserve">Gurukripa Electricals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</si>
</sst>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14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2" fillId="0" borderId="1" xfId="0" applyFont="1" applyFill="1" applyBorder="1" applyAlignment="1">
      <alignment horizontal="left" vertical="center"/>
    </xf>
    <xf numFmtId="1" fontId="2" fillId="0" borderId="1" xfId="0" applyNumberFormat="1" applyFont="1" applyFill="1" applyBorder="1" applyAlignment="1">
      <alignment horizontal="center"/>
    </xf>
    <xf numFmtId="1" fontId="2" fillId="0" borderId="1" xfId="0" applyNumberFormat="1" applyFont="1" applyFill="1" applyBorder="1" applyAlignment="1"/>
    <xf numFmtId="1" fontId="2" fillId="0" borderId="1" xfId="0" applyNumberFormat="1" applyFont="1" applyBorder="1" applyAlignment="1"/>
    <xf numFmtId="0" fontId="0" fillId="0" borderId="0" xfId="0" applyAlignment="1"/>
    <xf numFmtId="1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1</xdr:row>
          <xdr:rowOff>60960</xdr:rowOff>
        </xdr:from>
        <xdr:to>
          <xdr:col>15</xdr:col>
          <xdr:colOff>213360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3B85-289F-44EF-A16F-0DFE5E7BFCD5}">
  <sheetPr codeName="Sheet1"/>
  <dimension ref="A1:M23"/>
  <sheetViews>
    <sheetView showGridLines="0" tabSelected="1" workbookViewId="0"/>
  </sheetViews>
  <sheetFormatPr defaultRowHeight="14.4" x14ac:dyDescent="0.3"/>
  <cols>
    <col min="1" max="1" width="6.109375" bestFit="1" customWidth="1"/>
    <col min="2" max="2" width="11.109375" bestFit="1" customWidth="1"/>
    <col min="3" max="3" width="17.77734375" bestFit="1" customWidth="1"/>
    <col min="4" max="4" width="18.88671875" bestFit="1" customWidth="1"/>
    <col min="5" max="5" width="37.77734375" bestFit="1" customWidth="1"/>
    <col min="6" max="6" width="10.44140625" bestFit="1" customWidth="1"/>
    <col min="7" max="7" width="10.88671875" bestFit="1" customWidth="1"/>
    <col min="8" max="8" width="9.109375" bestFit="1" customWidth="1"/>
    <col min="9" max="9" width="4.33203125" bestFit="1" customWidth="1"/>
    <col min="10" max="10" width="4.77734375" bestFit="1" customWidth="1"/>
    <col min="11" max="11" width="12.88671875" bestFit="1" customWidth="1"/>
    <col min="12" max="12" width="30.5546875" bestFit="1" customWidth="1"/>
    <col min="13" max="13" width="7" bestFit="1" customWidth="1"/>
  </cols>
  <sheetData>
    <row r="1" spans="1:13" s="1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3">
      <c r="A2" s="4">
        <f>_xlfn.AGGREGATE(3,3,$B$2:B2)</f>
        <v>1</v>
      </c>
      <c r="B2" s="4" t="s">
        <v>13</v>
      </c>
      <c r="C2" s="5" t="s">
        <v>14</v>
      </c>
      <c r="D2" s="6" t="s">
        <v>15</v>
      </c>
      <c r="E2" s="7" t="s">
        <v>16</v>
      </c>
      <c r="F2" s="8">
        <v>113</v>
      </c>
      <c r="G2" s="8">
        <v>48</v>
      </c>
      <c r="H2" s="8">
        <f>F2*G2/144</f>
        <v>37.666666666666664</v>
      </c>
      <c r="I2" s="8">
        <v>1</v>
      </c>
      <c r="J2" s="9">
        <v>700</v>
      </c>
      <c r="K2" s="9">
        <f>J2*I2*H2</f>
        <v>26366.666666666664</v>
      </c>
      <c r="L2" s="10">
        <f>K2*15%</f>
        <v>3954.9999999999995</v>
      </c>
      <c r="M2" s="10">
        <f>K2+L2</f>
        <v>30321.666666666664</v>
      </c>
    </row>
    <row r="3" spans="1:13" x14ac:dyDescent="0.3">
      <c r="A3" s="4">
        <f>_xlfn.AGGREGATE(3,3,$B$2:B3)</f>
        <v>2</v>
      </c>
      <c r="B3" s="4" t="s">
        <v>13</v>
      </c>
      <c r="C3" s="5" t="s">
        <v>14</v>
      </c>
      <c r="D3" s="6" t="s">
        <v>15</v>
      </c>
      <c r="E3" s="7" t="s">
        <v>17</v>
      </c>
      <c r="F3" s="8">
        <v>72</v>
      </c>
      <c r="G3" s="8">
        <v>96</v>
      </c>
      <c r="H3" s="8">
        <f>F3*G3/144</f>
        <v>48</v>
      </c>
      <c r="I3" s="8">
        <v>1</v>
      </c>
      <c r="J3" s="9">
        <v>550</v>
      </c>
      <c r="K3" s="9">
        <f t="shared" ref="K3:K22" si="0">J3*I3*H3</f>
        <v>26400</v>
      </c>
      <c r="L3" s="10">
        <f t="shared" ref="L3:L21" si="1">K3*15%</f>
        <v>3960</v>
      </c>
      <c r="M3" s="10">
        <f t="shared" ref="M3:M22" si="2">K3+L3</f>
        <v>30360</v>
      </c>
    </row>
    <row r="4" spans="1:13" x14ac:dyDescent="0.3">
      <c r="A4" s="4">
        <f>_xlfn.AGGREGATE(3,3,$B$2:B4)</f>
        <v>3</v>
      </c>
      <c r="B4" s="4" t="s">
        <v>13</v>
      </c>
      <c r="C4" s="5" t="s">
        <v>14</v>
      </c>
      <c r="D4" s="6" t="s">
        <v>15</v>
      </c>
      <c r="E4" s="7" t="s">
        <v>18</v>
      </c>
      <c r="F4" s="8">
        <v>1</v>
      </c>
      <c r="G4" s="8">
        <v>1</v>
      </c>
      <c r="H4" s="8">
        <v>1</v>
      </c>
      <c r="I4" s="8">
        <v>1</v>
      </c>
      <c r="J4" s="9">
        <v>250</v>
      </c>
      <c r="K4" s="9">
        <f t="shared" si="0"/>
        <v>250</v>
      </c>
      <c r="L4" s="10">
        <v>0</v>
      </c>
      <c r="M4" s="10">
        <f t="shared" si="2"/>
        <v>250</v>
      </c>
    </row>
    <row r="5" spans="1:13" x14ac:dyDescent="0.3">
      <c r="A5" s="4">
        <f>_xlfn.AGGREGATE(3,3,$B$2:B5)</f>
        <v>4</v>
      </c>
      <c r="B5" s="4" t="s">
        <v>19</v>
      </c>
      <c r="C5" s="5" t="s">
        <v>20</v>
      </c>
      <c r="D5" s="6" t="s">
        <v>21</v>
      </c>
      <c r="E5" s="7" t="s">
        <v>17</v>
      </c>
      <c r="F5" s="8">
        <v>72</v>
      </c>
      <c r="G5" s="8">
        <v>94</v>
      </c>
      <c r="H5" s="8">
        <f>F5*G5/144</f>
        <v>47</v>
      </c>
      <c r="I5" s="8">
        <v>1</v>
      </c>
      <c r="J5" s="9">
        <v>720</v>
      </c>
      <c r="K5" s="9">
        <f t="shared" si="0"/>
        <v>33840</v>
      </c>
      <c r="L5" s="10">
        <f t="shared" si="1"/>
        <v>5076</v>
      </c>
      <c r="M5" s="10">
        <f t="shared" si="2"/>
        <v>38916</v>
      </c>
    </row>
    <row r="6" spans="1:13" x14ac:dyDescent="0.3">
      <c r="A6" s="4">
        <f>_xlfn.AGGREGATE(3,3,$B$2:B6)</f>
        <v>5</v>
      </c>
      <c r="B6" s="4" t="s">
        <v>19</v>
      </c>
      <c r="C6" s="5" t="s">
        <v>20</v>
      </c>
      <c r="D6" s="6" t="s">
        <v>21</v>
      </c>
      <c r="E6" s="7" t="s">
        <v>18</v>
      </c>
      <c r="F6" s="8">
        <v>1</v>
      </c>
      <c r="G6" s="8">
        <v>1</v>
      </c>
      <c r="H6" s="8">
        <v>1</v>
      </c>
      <c r="I6" s="8">
        <v>1</v>
      </c>
      <c r="J6" s="9">
        <v>250</v>
      </c>
      <c r="K6" s="9">
        <f t="shared" si="0"/>
        <v>250</v>
      </c>
      <c r="L6" s="10">
        <v>0</v>
      </c>
      <c r="M6" s="10">
        <f t="shared" si="2"/>
        <v>250</v>
      </c>
    </row>
    <row r="7" spans="1:13" x14ac:dyDescent="0.3">
      <c r="A7" s="4">
        <f>_xlfn.AGGREGATE(3,3,$B$2:B7)</f>
        <v>6</v>
      </c>
      <c r="B7" s="4" t="s">
        <v>22</v>
      </c>
      <c r="C7" s="5" t="s">
        <v>23</v>
      </c>
      <c r="D7" s="6" t="s">
        <v>24</v>
      </c>
      <c r="E7" s="7" t="s">
        <v>25</v>
      </c>
      <c r="F7" s="8">
        <v>120</v>
      </c>
      <c r="G7" s="8">
        <v>60</v>
      </c>
      <c r="H7" s="8">
        <f t="shared" ref="H7:H8" si="3">F7*G7/144</f>
        <v>50</v>
      </c>
      <c r="I7" s="8">
        <v>1</v>
      </c>
      <c r="J7" s="9">
        <v>700</v>
      </c>
      <c r="K7" s="9">
        <f t="shared" si="0"/>
        <v>35000</v>
      </c>
      <c r="L7" s="10">
        <f t="shared" si="1"/>
        <v>5250</v>
      </c>
      <c r="M7" s="10">
        <f t="shared" si="2"/>
        <v>40250</v>
      </c>
    </row>
    <row r="8" spans="1:13" x14ac:dyDescent="0.3">
      <c r="A8" s="4">
        <f>_xlfn.AGGREGATE(3,3,$B$2:B8)</f>
        <v>7</v>
      </c>
      <c r="B8" s="4" t="s">
        <v>22</v>
      </c>
      <c r="C8" s="5" t="s">
        <v>23</v>
      </c>
      <c r="D8" s="6" t="s">
        <v>24</v>
      </c>
      <c r="E8" s="7" t="s">
        <v>26</v>
      </c>
      <c r="F8" s="8">
        <v>120</v>
      </c>
      <c r="G8" s="8">
        <v>36</v>
      </c>
      <c r="H8" s="8">
        <f t="shared" si="3"/>
        <v>30</v>
      </c>
      <c r="I8" s="8">
        <v>1</v>
      </c>
      <c r="J8" s="9">
        <v>130</v>
      </c>
      <c r="K8" s="9">
        <f t="shared" si="0"/>
        <v>3900</v>
      </c>
      <c r="L8" s="10">
        <f t="shared" si="1"/>
        <v>585</v>
      </c>
      <c r="M8" s="10">
        <f t="shared" si="2"/>
        <v>4485</v>
      </c>
    </row>
    <row r="9" spans="1:13" x14ac:dyDescent="0.3">
      <c r="A9" s="4">
        <f>_xlfn.AGGREGATE(3,3,$B$2:B9)</f>
        <v>8</v>
      </c>
      <c r="B9" s="4" t="s">
        <v>22</v>
      </c>
      <c r="C9" s="5" t="s">
        <v>23</v>
      </c>
      <c r="D9" s="6" t="s">
        <v>24</v>
      </c>
      <c r="E9" s="7" t="s">
        <v>27</v>
      </c>
      <c r="F9" s="8">
        <v>1</v>
      </c>
      <c r="G9" s="8">
        <v>1</v>
      </c>
      <c r="H9" s="8">
        <v>1</v>
      </c>
      <c r="I9" s="8">
        <v>4</v>
      </c>
      <c r="J9" s="9">
        <v>550</v>
      </c>
      <c r="K9" s="9">
        <f t="shared" si="0"/>
        <v>2200</v>
      </c>
      <c r="L9" s="10">
        <f t="shared" si="1"/>
        <v>330</v>
      </c>
      <c r="M9" s="10">
        <f t="shared" si="2"/>
        <v>2530</v>
      </c>
    </row>
    <row r="10" spans="1:13" x14ac:dyDescent="0.3">
      <c r="A10" s="4">
        <f>_xlfn.AGGREGATE(3,3,$B$2:B10)</f>
        <v>9</v>
      </c>
      <c r="B10" s="4" t="s">
        <v>22</v>
      </c>
      <c r="C10" s="5" t="s">
        <v>23</v>
      </c>
      <c r="D10" s="6" t="s">
        <v>24</v>
      </c>
      <c r="E10" s="7" t="s">
        <v>18</v>
      </c>
      <c r="F10" s="8">
        <v>1</v>
      </c>
      <c r="G10" s="8">
        <v>1</v>
      </c>
      <c r="H10" s="8">
        <v>1</v>
      </c>
      <c r="I10" s="8">
        <v>1</v>
      </c>
      <c r="J10" s="9">
        <v>250</v>
      </c>
      <c r="K10" s="9">
        <f t="shared" si="0"/>
        <v>250</v>
      </c>
      <c r="L10" s="10">
        <v>0</v>
      </c>
      <c r="M10" s="10">
        <f t="shared" si="2"/>
        <v>250</v>
      </c>
    </row>
    <row r="11" spans="1:13" x14ac:dyDescent="0.3">
      <c r="A11" s="4">
        <f>_xlfn.AGGREGATE(3,3,$B$2:B11)</f>
        <v>10</v>
      </c>
      <c r="B11" s="4" t="s">
        <v>28</v>
      </c>
      <c r="C11" s="5" t="s">
        <v>29</v>
      </c>
      <c r="D11" s="6" t="s">
        <v>30</v>
      </c>
      <c r="E11" s="7" t="s">
        <v>25</v>
      </c>
      <c r="F11" s="8">
        <v>207</v>
      </c>
      <c r="G11" s="8">
        <v>54</v>
      </c>
      <c r="H11" s="8">
        <f t="shared" ref="H11:H12" si="4">F11*G11/144</f>
        <v>77.625</v>
      </c>
      <c r="I11" s="8">
        <v>1</v>
      </c>
      <c r="J11" s="9">
        <v>700</v>
      </c>
      <c r="K11" s="9">
        <f t="shared" si="0"/>
        <v>54337.5</v>
      </c>
      <c r="L11" s="10">
        <f t="shared" si="1"/>
        <v>8150.625</v>
      </c>
      <c r="M11" s="10">
        <f t="shared" si="2"/>
        <v>62488.125</v>
      </c>
    </row>
    <row r="12" spans="1:13" x14ac:dyDescent="0.3">
      <c r="A12" s="4">
        <f>_xlfn.AGGREGATE(3,3,$B$2:B12)</f>
        <v>11</v>
      </c>
      <c r="B12" s="4" t="s">
        <v>28</v>
      </c>
      <c r="C12" s="5" t="s">
        <v>29</v>
      </c>
      <c r="D12" s="6" t="s">
        <v>30</v>
      </c>
      <c r="E12" s="7" t="s">
        <v>26</v>
      </c>
      <c r="F12" s="8">
        <v>207</v>
      </c>
      <c r="G12" s="8">
        <v>36</v>
      </c>
      <c r="H12" s="8">
        <f t="shared" si="4"/>
        <v>51.75</v>
      </c>
      <c r="I12" s="8">
        <v>1</v>
      </c>
      <c r="J12" s="9">
        <v>130</v>
      </c>
      <c r="K12" s="9">
        <f t="shared" si="0"/>
        <v>6727.5</v>
      </c>
      <c r="L12" s="10">
        <f t="shared" si="1"/>
        <v>1009.125</v>
      </c>
      <c r="M12" s="10">
        <f t="shared" si="2"/>
        <v>7736.625</v>
      </c>
    </row>
    <row r="13" spans="1:13" x14ac:dyDescent="0.3">
      <c r="A13" s="4">
        <f>_xlfn.AGGREGATE(3,3,$B$2:B13)</f>
        <v>12</v>
      </c>
      <c r="B13" s="4" t="s">
        <v>28</v>
      </c>
      <c r="C13" s="5" t="s">
        <v>29</v>
      </c>
      <c r="D13" s="6" t="s">
        <v>30</v>
      </c>
      <c r="E13" s="7" t="s">
        <v>27</v>
      </c>
      <c r="F13" s="8">
        <v>1</v>
      </c>
      <c r="G13" s="8">
        <v>1</v>
      </c>
      <c r="H13" s="8">
        <v>1</v>
      </c>
      <c r="I13" s="8">
        <v>7</v>
      </c>
      <c r="J13" s="9">
        <v>550</v>
      </c>
      <c r="K13" s="9">
        <f t="shared" si="0"/>
        <v>3850</v>
      </c>
      <c r="L13" s="10">
        <f t="shared" si="1"/>
        <v>577.5</v>
      </c>
      <c r="M13" s="10">
        <f t="shared" si="2"/>
        <v>4427.5</v>
      </c>
    </row>
    <row r="14" spans="1:13" x14ac:dyDescent="0.3">
      <c r="A14" s="4">
        <f>_xlfn.AGGREGATE(3,3,$B$2:B14)</f>
        <v>13</v>
      </c>
      <c r="B14" s="4" t="s">
        <v>28</v>
      </c>
      <c r="C14" s="5" t="s">
        <v>29</v>
      </c>
      <c r="D14" s="6" t="s">
        <v>30</v>
      </c>
      <c r="E14" s="7" t="s">
        <v>31</v>
      </c>
      <c r="F14" s="8">
        <v>1</v>
      </c>
      <c r="G14" s="8">
        <v>1</v>
      </c>
      <c r="H14" s="8">
        <v>10</v>
      </c>
      <c r="I14" s="8">
        <v>1</v>
      </c>
      <c r="J14" s="9">
        <v>150</v>
      </c>
      <c r="K14" s="9">
        <f t="shared" si="0"/>
        <v>1500</v>
      </c>
      <c r="L14" s="10">
        <f t="shared" si="1"/>
        <v>225</v>
      </c>
      <c r="M14" s="10">
        <f t="shared" si="2"/>
        <v>1725</v>
      </c>
    </row>
    <row r="15" spans="1:13" x14ac:dyDescent="0.3">
      <c r="A15" s="4">
        <f>_xlfn.AGGREGATE(3,3,$B$2:B15)</f>
        <v>14</v>
      </c>
      <c r="B15" s="4" t="s">
        <v>28</v>
      </c>
      <c r="C15" s="5" t="s">
        <v>29</v>
      </c>
      <c r="D15" s="6" t="s">
        <v>30</v>
      </c>
      <c r="E15" s="7" t="s">
        <v>17</v>
      </c>
      <c r="F15" s="8">
        <v>72</v>
      </c>
      <c r="G15" s="8">
        <v>96</v>
      </c>
      <c r="H15" s="8">
        <f>F15*G15/144</f>
        <v>48</v>
      </c>
      <c r="I15" s="8">
        <v>1</v>
      </c>
      <c r="J15" s="9">
        <v>550</v>
      </c>
      <c r="K15" s="9">
        <f t="shared" si="0"/>
        <v>26400</v>
      </c>
      <c r="L15" s="10">
        <f t="shared" si="1"/>
        <v>3960</v>
      </c>
      <c r="M15" s="10">
        <f t="shared" si="2"/>
        <v>30360</v>
      </c>
    </row>
    <row r="16" spans="1:13" x14ac:dyDescent="0.3">
      <c r="A16" s="4">
        <f>_xlfn.AGGREGATE(3,3,$B$2:B16)</f>
        <v>15</v>
      </c>
      <c r="B16" s="4" t="s">
        <v>28</v>
      </c>
      <c r="C16" s="5" t="s">
        <v>29</v>
      </c>
      <c r="D16" s="6" t="s">
        <v>30</v>
      </c>
      <c r="E16" s="7" t="s">
        <v>18</v>
      </c>
      <c r="F16" s="8">
        <v>1</v>
      </c>
      <c r="G16" s="8">
        <v>1</v>
      </c>
      <c r="H16" s="8">
        <v>1</v>
      </c>
      <c r="I16" s="8">
        <v>1</v>
      </c>
      <c r="J16" s="9">
        <v>250</v>
      </c>
      <c r="K16" s="9">
        <f t="shared" si="0"/>
        <v>250</v>
      </c>
      <c r="L16" s="10">
        <v>0</v>
      </c>
      <c r="M16" s="10">
        <f t="shared" si="2"/>
        <v>250</v>
      </c>
    </row>
    <row r="17" spans="1:13" x14ac:dyDescent="0.3">
      <c r="A17" s="4">
        <f>_xlfn.AGGREGATE(3,3,$B$2:B17)</f>
        <v>16</v>
      </c>
      <c r="B17" s="4" t="s">
        <v>32</v>
      </c>
      <c r="C17" s="5" t="s">
        <v>33</v>
      </c>
      <c r="D17" s="6" t="s">
        <v>34</v>
      </c>
      <c r="E17" s="7" t="s">
        <v>25</v>
      </c>
      <c r="F17" s="8">
        <v>290</v>
      </c>
      <c r="G17" s="8">
        <v>72</v>
      </c>
      <c r="H17" s="8">
        <f t="shared" ref="H17:H18" si="5">F17*G17/144</f>
        <v>145</v>
      </c>
      <c r="I17" s="8">
        <v>1</v>
      </c>
      <c r="J17" s="9">
        <v>700</v>
      </c>
      <c r="K17" s="9">
        <f t="shared" si="0"/>
        <v>101500</v>
      </c>
      <c r="L17" s="10">
        <f t="shared" si="1"/>
        <v>15225</v>
      </c>
      <c r="M17" s="10">
        <f t="shared" si="2"/>
        <v>116725</v>
      </c>
    </row>
    <row r="18" spans="1:13" x14ac:dyDescent="0.3">
      <c r="A18" s="4">
        <f>_xlfn.AGGREGATE(3,3,$B$2:B18)</f>
        <v>17</v>
      </c>
      <c r="B18" s="4" t="s">
        <v>32</v>
      </c>
      <c r="C18" s="5" t="s">
        <v>33</v>
      </c>
      <c r="D18" s="6" t="s">
        <v>34</v>
      </c>
      <c r="E18" s="7" t="s">
        <v>26</v>
      </c>
      <c r="F18" s="8">
        <v>290</v>
      </c>
      <c r="G18" s="8">
        <v>36</v>
      </c>
      <c r="H18" s="8">
        <f t="shared" si="5"/>
        <v>72.5</v>
      </c>
      <c r="I18" s="8">
        <v>1</v>
      </c>
      <c r="J18" s="9">
        <v>130</v>
      </c>
      <c r="K18" s="9">
        <f t="shared" si="0"/>
        <v>9425</v>
      </c>
      <c r="L18" s="10">
        <f t="shared" si="1"/>
        <v>1413.75</v>
      </c>
      <c r="M18" s="10">
        <f t="shared" si="2"/>
        <v>10838.75</v>
      </c>
    </row>
    <row r="19" spans="1:13" x14ac:dyDescent="0.3">
      <c r="A19" s="4">
        <f>_xlfn.AGGREGATE(3,3,$B$2:B19)</f>
        <v>18</v>
      </c>
      <c r="B19" s="4" t="s">
        <v>32</v>
      </c>
      <c r="C19" s="5" t="s">
        <v>33</v>
      </c>
      <c r="D19" s="6" t="s">
        <v>34</v>
      </c>
      <c r="E19" s="7" t="s">
        <v>27</v>
      </c>
      <c r="F19" s="8">
        <v>1</v>
      </c>
      <c r="G19" s="8">
        <v>1</v>
      </c>
      <c r="H19" s="8">
        <v>1</v>
      </c>
      <c r="I19" s="8">
        <v>11</v>
      </c>
      <c r="J19" s="9">
        <v>550</v>
      </c>
      <c r="K19" s="9">
        <f t="shared" si="0"/>
        <v>6050</v>
      </c>
      <c r="L19" s="10">
        <f t="shared" si="1"/>
        <v>907.5</v>
      </c>
      <c r="M19" s="10">
        <f t="shared" si="2"/>
        <v>6957.5</v>
      </c>
    </row>
    <row r="20" spans="1:13" x14ac:dyDescent="0.3">
      <c r="A20" s="4">
        <f>_xlfn.AGGREGATE(3,3,$B$2:B20)</f>
        <v>19</v>
      </c>
      <c r="B20" s="4" t="s">
        <v>32</v>
      </c>
      <c r="C20" s="5" t="s">
        <v>33</v>
      </c>
      <c r="D20" s="6" t="s">
        <v>34</v>
      </c>
      <c r="E20" s="7" t="s">
        <v>31</v>
      </c>
      <c r="F20" s="8">
        <v>1</v>
      </c>
      <c r="G20" s="8">
        <v>1</v>
      </c>
      <c r="H20" s="8">
        <v>12</v>
      </c>
      <c r="I20" s="8">
        <v>1</v>
      </c>
      <c r="J20" s="9">
        <v>150</v>
      </c>
      <c r="K20" s="9">
        <f t="shared" si="0"/>
        <v>1800</v>
      </c>
      <c r="L20" s="10">
        <f t="shared" si="1"/>
        <v>270</v>
      </c>
      <c r="M20" s="10">
        <f t="shared" si="2"/>
        <v>2070</v>
      </c>
    </row>
    <row r="21" spans="1:13" x14ac:dyDescent="0.3">
      <c r="A21" s="4">
        <f>_xlfn.AGGREGATE(3,3,$B$2:B21)</f>
        <v>20</v>
      </c>
      <c r="B21" s="4" t="s">
        <v>32</v>
      </c>
      <c r="C21" s="5" t="s">
        <v>33</v>
      </c>
      <c r="D21" s="6" t="s">
        <v>34</v>
      </c>
      <c r="E21" s="7" t="s">
        <v>17</v>
      </c>
      <c r="F21" s="8">
        <v>72</v>
      </c>
      <c r="G21" s="8">
        <v>96</v>
      </c>
      <c r="H21" s="8">
        <f>F21*G21/144</f>
        <v>48</v>
      </c>
      <c r="I21" s="8">
        <v>1</v>
      </c>
      <c r="J21" s="9">
        <v>550</v>
      </c>
      <c r="K21" s="9">
        <f t="shared" si="0"/>
        <v>26400</v>
      </c>
      <c r="L21" s="10">
        <f t="shared" si="1"/>
        <v>3960</v>
      </c>
      <c r="M21" s="10">
        <f t="shared" si="2"/>
        <v>30360</v>
      </c>
    </row>
    <row r="22" spans="1:13" x14ac:dyDescent="0.3">
      <c r="A22" s="4">
        <f>_xlfn.AGGREGATE(3,3,$B$2:B22)</f>
        <v>21</v>
      </c>
      <c r="B22" s="4" t="s">
        <v>32</v>
      </c>
      <c r="C22" s="5" t="s">
        <v>33</v>
      </c>
      <c r="D22" s="6" t="s">
        <v>34</v>
      </c>
      <c r="E22" s="7" t="s">
        <v>18</v>
      </c>
      <c r="F22" s="8">
        <v>1</v>
      </c>
      <c r="G22" s="8">
        <v>1</v>
      </c>
      <c r="H22" s="8">
        <v>1</v>
      </c>
      <c r="I22" s="8">
        <v>1</v>
      </c>
      <c r="J22" s="9">
        <v>250</v>
      </c>
      <c r="K22" s="9">
        <f t="shared" si="0"/>
        <v>250</v>
      </c>
      <c r="L22" s="10">
        <v>0</v>
      </c>
      <c r="M22" s="10">
        <f t="shared" si="2"/>
        <v>250</v>
      </c>
    </row>
    <row r="23" spans="1:13" x14ac:dyDescent="0.3">
      <c r="M23" s="1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plitSheetIntoWorkbooks">
                <anchor moveWithCells="1" sizeWithCells="1">
                  <from>
                    <xdr:col>13</xdr:col>
                    <xdr:colOff>335280</xdr:colOff>
                    <xdr:row>1</xdr:row>
                    <xdr:rowOff>60960</xdr:rowOff>
                  </from>
                  <to>
                    <xdr:col>15</xdr:col>
                    <xdr:colOff>213360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Vivekananda Sinha</dc:creator>
  <cp:lastModifiedBy>Dart</cp:lastModifiedBy>
  <dcterms:created xsi:type="dcterms:W3CDTF">2021-06-22T05:54:10Z</dcterms:created>
  <dcterms:modified xsi:type="dcterms:W3CDTF">2025-02-28T06:23:24Z</dcterms:modified>
</cp:coreProperties>
</file>