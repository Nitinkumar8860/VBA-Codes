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 Code For Spit Workbook\"/>
    </mc:Choice>
  </mc:AlternateContent>
  <xr:revisionPtr revIDLastSave="0" documentId="13_ncr:1_{D441B8F0-249F-42DB-A8CC-A103552F28E4}" xr6:coauthVersionLast="36" xr6:coauthVersionMax="47" xr10:uidLastSave="{00000000-0000-0000-0000-000000000000}"/>
  <bookViews>
    <workbookView xWindow="32892" yWindow="1860" windowWidth="17280" windowHeight="9420" xr2:uid="{F18D2729-C63C-4038-B76E-5DB36ABCC398}"/>
  </bookViews>
  <sheets>
    <sheet name="All Data" sheetId="1" r:id="rId1"/>
  </sheets>
  <definedNames>
    <definedName name="_xlnm._FilterDatabase" localSheetId="0" hidden="1">'All Data'!$A$1:$N$1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" i="1"/>
  <c r="K26" i="1"/>
  <c r="M26" i="1" s="1"/>
  <c r="H25" i="1"/>
  <c r="K25" i="1" s="1"/>
  <c r="H24" i="1"/>
  <c r="K24" i="1" s="1"/>
  <c r="L24" i="1" s="1"/>
  <c r="M24" i="1" s="1"/>
  <c r="H23" i="1"/>
  <c r="K23" i="1" s="1"/>
  <c r="H22" i="1"/>
  <c r="K22" i="1" s="1"/>
  <c r="K21" i="1"/>
  <c r="L21" i="1" s="1"/>
  <c r="M21" i="1" s="1"/>
  <c r="H20" i="1"/>
  <c r="K20" i="1" s="1"/>
  <c r="K19" i="1"/>
  <c r="M19" i="1" s="1"/>
  <c r="H18" i="1"/>
  <c r="K18" i="1" s="1"/>
  <c r="H17" i="1"/>
  <c r="K17" i="1" s="1"/>
  <c r="L17" i="1" s="1"/>
  <c r="M17" i="1" s="1"/>
  <c r="H16" i="1"/>
  <c r="K16" i="1" s="1"/>
  <c r="H15" i="1"/>
  <c r="K15" i="1" s="1"/>
  <c r="H14" i="1"/>
  <c r="K14" i="1" s="1"/>
  <c r="H13" i="1"/>
  <c r="K13" i="1" s="1"/>
  <c r="L13" i="1" s="1"/>
  <c r="M13" i="1" s="1"/>
  <c r="K12" i="1"/>
  <c r="L12" i="1" s="1"/>
  <c r="H11" i="1"/>
  <c r="K11" i="1" s="1"/>
  <c r="K10" i="1"/>
  <c r="M10" i="1" s="1"/>
  <c r="H9" i="1"/>
  <c r="K9" i="1" s="1"/>
  <c r="K8" i="1"/>
  <c r="H7" i="1"/>
  <c r="K7" i="1" s="1"/>
  <c r="K6" i="1"/>
  <c r="M6" i="1" s="1"/>
  <c r="H5" i="1"/>
  <c r="K5" i="1" s="1"/>
  <c r="H4" i="1"/>
  <c r="K4" i="1" s="1"/>
  <c r="K3" i="1"/>
  <c r="L3" i="1" s="1"/>
  <c r="M3" i="1" s="1"/>
  <c r="H2" i="1"/>
  <c r="K2" i="1" s="1"/>
  <c r="M12" i="1" l="1"/>
  <c r="L2" i="1"/>
  <c r="M2" i="1" s="1"/>
  <c r="L20" i="1"/>
  <c r="M20" i="1" s="1"/>
  <c r="L25" i="1"/>
  <c r="M25" i="1" s="1"/>
  <c r="L4" i="1"/>
  <c r="M4" i="1" s="1"/>
  <c r="L9" i="1"/>
  <c r="M9" i="1" s="1"/>
  <c r="L14" i="1"/>
  <c r="M14" i="1" s="1"/>
  <c r="L18" i="1"/>
  <c r="M18" i="1" s="1"/>
  <c r="L23" i="1"/>
  <c r="M23" i="1" s="1"/>
  <c r="L11" i="1"/>
  <c r="M11" i="1" s="1"/>
  <c r="L16" i="1"/>
  <c r="M16" i="1" s="1"/>
  <c r="L5" i="1"/>
  <c r="M5" i="1" s="1"/>
  <c r="L7" i="1"/>
  <c r="M7" i="1" s="1"/>
  <c r="L8" i="1"/>
  <c r="M8" i="1" s="1"/>
  <c r="L15" i="1"/>
  <c r="M15" i="1" s="1"/>
  <c r="L22" i="1"/>
  <c r="M22" i="1" s="1"/>
</calcChain>
</file>

<file path=xl/sharedStrings.xml><?xml version="1.0" encoding="utf-8"?>
<sst xmlns="http://schemas.openxmlformats.org/spreadsheetml/2006/main" count="122" uniqueCount="35">
  <si>
    <t>GST Number</t>
  </si>
  <si>
    <t>OUTLET NAME</t>
  </si>
  <si>
    <t>Description/Item</t>
  </si>
  <si>
    <t>WIDTH (IN)</t>
  </si>
  <si>
    <t>HEIGHT (IN)</t>
  </si>
  <si>
    <t>Total Sqft</t>
  </si>
  <si>
    <t>QTY</t>
  </si>
  <si>
    <t>Rate</t>
  </si>
  <si>
    <t>Gross Amount</t>
  </si>
  <si>
    <t>15% Transportation and packaging</t>
  </si>
  <si>
    <t>Total</t>
  </si>
  <si>
    <t>Sunboard Branding</t>
  </si>
  <si>
    <t>Sr.No</t>
  </si>
  <si>
    <t>DartCode</t>
  </si>
  <si>
    <t>Remark</t>
  </si>
  <si>
    <t>D25010004</t>
  </si>
  <si>
    <t>09BFPPSC534EIZY</t>
  </si>
  <si>
    <t>Susheel Electric Solution</t>
  </si>
  <si>
    <t>Flex Board</t>
  </si>
  <si>
    <t>Iron Angle for back support</t>
  </si>
  <si>
    <t>Recce charges (Non-Metro)</t>
  </si>
  <si>
    <t>D25010005</t>
  </si>
  <si>
    <t>09BYQPG6537DIZ5</t>
  </si>
  <si>
    <t>Arjun Traders</t>
  </si>
  <si>
    <t>Fan Display Unit- Standard</t>
  </si>
  <si>
    <t>Fixture cancelled by Mam</t>
  </si>
  <si>
    <t>D25010006</t>
  </si>
  <si>
    <t>09ARHPM6686Q2ZL</t>
  </si>
  <si>
    <t>Yash Mobile Shop</t>
  </si>
  <si>
    <t>cancelled by prerna mam</t>
  </si>
  <si>
    <t>D25010020</t>
  </si>
  <si>
    <t>09ADOPN8467B1Z3</t>
  </si>
  <si>
    <t>Nathani Electronic</t>
  </si>
  <si>
    <t>Glow Sign Board</t>
  </si>
  <si>
    <t>Fan Display Unit- Customised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</si>
</sst>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/>
    <xf numFmtId="0" fontId="2" fillId="0" borderId="1" xfId="0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/>
    <xf numFmtId="14" fontId="4" fillId="0" borderId="1" xfId="0" applyNumberFormat="1" applyFont="1" applyFill="1" applyBorder="1" applyAlignment="1">
      <alignment horizontal="center"/>
    </xf>
    <xf numFmtId="0" fontId="4" fillId="5" borderId="1" xfId="0" applyFont="1" applyFill="1" applyBorder="1"/>
    <xf numFmtId="0" fontId="2" fillId="5" borderId="1" xfId="0" applyFont="1" applyFill="1" applyBorder="1" applyAlignment="1">
      <alignment horizontal="center"/>
    </xf>
    <xf numFmtId="1" fontId="4" fillId="5" borderId="1" xfId="0" applyNumberFormat="1" applyFont="1" applyFill="1" applyBorder="1" applyAlignment="1">
      <alignment horizontal="center"/>
    </xf>
    <xf numFmtId="1" fontId="4" fillId="5" borderId="1" xfId="0" applyNumberFormat="1" applyFont="1" applyFill="1" applyBorder="1" applyAlignment="1"/>
    <xf numFmtId="0" fontId="4" fillId="5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0" fillId="0" borderId="0" xfId="0" applyAlignment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4" fontId="2" fillId="3" borderId="1" xfId="0" applyNumberFormat="1" applyFont="1" applyFill="1" applyBorder="1" applyAlignment="1">
      <alignment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0" borderId="1" xfId="0" applyFont="1" applyFill="1" applyBorder="1"/>
  </cellXfs>
  <cellStyles count="2">
    <cellStyle name="Normal" xfId="0" builtinId="0"/>
    <cellStyle name="Normal 2" xfId="1" xr:uid="{60D01D8B-3ED0-4C4D-A0CB-A0FC2C31EC2D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8E8DA-4FF7-43C0-AEF7-B80A957C33D6}">
  <sheetPr codeName="Sheet1"/>
  <dimension ref="A1:N26"/>
  <sheetViews>
    <sheetView tabSelected="1" workbookViewId="0"/>
  </sheetViews>
  <sheetFormatPr defaultRowHeight="14.4" x14ac:dyDescent="0.3"/>
  <cols>
    <col min="1" max="1" width="10.44140625" bestFit="1" customWidth="1"/>
    <col min="2" max="2" width="14.33203125" style="1" bestFit="1" customWidth="1"/>
    <col min="3" max="3" width="19.77734375" style="1" bestFit="1" customWidth="1"/>
    <col min="4" max="4" width="38.6640625" bestFit="1" customWidth="1"/>
    <col min="5" max="5" width="31.33203125" bestFit="1" customWidth="1"/>
    <col min="6" max="6" width="15.88671875" bestFit="1" customWidth="1"/>
    <col min="7" max="7" width="16.44140625" bestFit="1" customWidth="1"/>
    <col min="8" max="8" width="14.44140625" bestFit="1" customWidth="1"/>
    <col min="9" max="9" width="9.21875" bestFit="1" customWidth="1"/>
    <col min="10" max="10" width="9.6640625" bestFit="1" customWidth="1"/>
    <col min="11" max="11" width="18.88671875" bestFit="1" customWidth="1"/>
    <col min="12" max="12" width="38.44140625" bestFit="1" customWidth="1"/>
    <col min="13" max="13" width="10.21875" bestFit="1" customWidth="1"/>
    <col min="14" max="14" width="43.5546875" bestFit="1" customWidth="1"/>
  </cols>
  <sheetData>
    <row r="1" spans="1:14" s="16" customFormat="1" ht="15.6" x14ac:dyDescent="0.3">
      <c r="A1" s="17" t="s">
        <v>12</v>
      </c>
      <c r="B1" s="17" t="s">
        <v>13</v>
      </c>
      <c r="C1" s="17" t="s">
        <v>0</v>
      </c>
      <c r="D1" s="18" t="s">
        <v>1</v>
      </c>
      <c r="E1" s="19" t="s">
        <v>2</v>
      </c>
      <c r="F1" s="20" t="s">
        <v>3</v>
      </c>
      <c r="G1" s="20" t="s">
        <v>4</v>
      </c>
      <c r="H1" s="20" t="s">
        <v>5</v>
      </c>
      <c r="I1" s="20" t="s">
        <v>6</v>
      </c>
      <c r="J1" s="21" t="s">
        <v>7</v>
      </c>
      <c r="K1" s="21" t="s">
        <v>8</v>
      </c>
      <c r="L1" s="21" t="s">
        <v>9</v>
      </c>
      <c r="M1" s="21" t="s">
        <v>10</v>
      </c>
      <c r="N1" s="15" t="s">
        <v>14</v>
      </c>
    </row>
    <row r="2" spans="1:14" ht="15.6" x14ac:dyDescent="0.3">
      <c r="A2" s="2">
        <f>_xlfn.AGGREGATE(3,3,$B$2:B2)</f>
        <v>1</v>
      </c>
      <c r="B2" s="14" t="s">
        <v>15</v>
      </c>
      <c r="C2" s="2" t="s">
        <v>16</v>
      </c>
      <c r="D2" s="3" t="s">
        <v>17</v>
      </c>
      <c r="E2" s="4" t="s">
        <v>18</v>
      </c>
      <c r="F2" s="5">
        <v>96</v>
      </c>
      <c r="G2" s="5">
        <v>36</v>
      </c>
      <c r="H2" s="6">
        <f>F2*G2/144</f>
        <v>24</v>
      </c>
      <c r="I2" s="6">
        <v>1</v>
      </c>
      <c r="J2" s="6">
        <v>60</v>
      </c>
      <c r="K2" s="7">
        <f t="shared" ref="K2:K26" si="0">J2*I2*H2</f>
        <v>1440</v>
      </c>
      <c r="L2" s="7">
        <f>K2*15%</f>
        <v>216</v>
      </c>
      <c r="M2" s="7">
        <f>SUM(K2:L2)</f>
        <v>1656</v>
      </c>
      <c r="N2" s="22"/>
    </row>
    <row r="3" spans="1:14" ht="15.6" x14ac:dyDescent="0.3">
      <c r="A3" s="2">
        <f>_xlfn.AGGREGATE(3,3,$B$2:B3)</f>
        <v>2</v>
      </c>
      <c r="B3" s="14" t="s">
        <v>15</v>
      </c>
      <c r="C3" s="2" t="s">
        <v>16</v>
      </c>
      <c r="D3" s="3" t="s">
        <v>17</v>
      </c>
      <c r="E3" s="4" t="s">
        <v>19</v>
      </c>
      <c r="F3" s="5">
        <v>1</v>
      </c>
      <c r="G3" s="5">
        <v>1</v>
      </c>
      <c r="H3" s="6">
        <v>10</v>
      </c>
      <c r="I3" s="6">
        <v>1</v>
      </c>
      <c r="J3" s="6">
        <v>150</v>
      </c>
      <c r="K3" s="7">
        <f t="shared" si="0"/>
        <v>1500</v>
      </c>
      <c r="L3" s="7">
        <f t="shared" ref="L3:L25" si="1">K3*15%</f>
        <v>225</v>
      </c>
      <c r="M3" s="7">
        <f t="shared" ref="M3:M26" si="2">SUM(K3:L3)</f>
        <v>1725</v>
      </c>
      <c r="N3" s="22"/>
    </row>
    <row r="4" spans="1:14" ht="15.6" x14ac:dyDescent="0.3">
      <c r="A4" s="2">
        <f>_xlfn.AGGREGATE(3,3,$B$2:B4)</f>
        <v>3</v>
      </c>
      <c r="B4" s="14" t="s">
        <v>15</v>
      </c>
      <c r="C4" s="2" t="s">
        <v>16</v>
      </c>
      <c r="D4" s="3" t="s">
        <v>17</v>
      </c>
      <c r="E4" s="4" t="s">
        <v>11</v>
      </c>
      <c r="F4" s="5">
        <v>30</v>
      </c>
      <c r="G4" s="5">
        <v>100</v>
      </c>
      <c r="H4" s="6">
        <f>F4*G4/144</f>
        <v>20.833333333333332</v>
      </c>
      <c r="I4" s="6">
        <v>1</v>
      </c>
      <c r="J4" s="6">
        <v>100</v>
      </c>
      <c r="K4" s="7">
        <f t="shared" si="0"/>
        <v>2083.333333333333</v>
      </c>
      <c r="L4" s="7">
        <f t="shared" si="1"/>
        <v>312.49999999999994</v>
      </c>
      <c r="M4" s="7">
        <f t="shared" si="2"/>
        <v>2395.833333333333</v>
      </c>
      <c r="N4" s="22"/>
    </row>
    <row r="5" spans="1:14" ht="15.6" x14ac:dyDescent="0.3">
      <c r="A5" s="2">
        <f>_xlfn.AGGREGATE(3,3,$B$2:B5)</f>
        <v>4</v>
      </c>
      <c r="B5" s="14" t="s">
        <v>15</v>
      </c>
      <c r="C5" s="2" t="s">
        <v>16</v>
      </c>
      <c r="D5" s="3" t="s">
        <v>17</v>
      </c>
      <c r="E5" s="4" t="s">
        <v>11</v>
      </c>
      <c r="F5" s="5">
        <v>29</v>
      </c>
      <c r="G5" s="5">
        <v>100</v>
      </c>
      <c r="H5" s="6">
        <f>F5*G5/144</f>
        <v>20.138888888888889</v>
      </c>
      <c r="I5" s="6">
        <v>1</v>
      </c>
      <c r="J5" s="6">
        <v>100</v>
      </c>
      <c r="K5" s="7">
        <f>J5*I5*H5</f>
        <v>2013.8888888888889</v>
      </c>
      <c r="L5" s="7">
        <f t="shared" si="1"/>
        <v>302.08333333333331</v>
      </c>
      <c r="M5" s="7">
        <f t="shared" si="2"/>
        <v>2315.9722222222222</v>
      </c>
      <c r="N5" s="22"/>
    </row>
    <row r="6" spans="1:14" ht="15.6" x14ac:dyDescent="0.3">
      <c r="A6" s="2">
        <f>_xlfn.AGGREGATE(3,3,$B$2:B6)</f>
        <v>5</v>
      </c>
      <c r="B6" s="14" t="s">
        <v>15</v>
      </c>
      <c r="C6" s="2" t="s">
        <v>16</v>
      </c>
      <c r="D6" s="3" t="s">
        <v>17</v>
      </c>
      <c r="E6" s="4" t="s">
        <v>20</v>
      </c>
      <c r="F6" s="5">
        <v>1</v>
      </c>
      <c r="G6" s="5">
        <v>1</v>
      </c>
      <c r="H6" s="6">
        <v>1</v>
      </c>
      <c r="I6" s="6">
        <v>1</v>
      </c>
      <c r="J6" s="6">
        <v>300</v>
      </c>
      <c r="K6" s="7">
        <f t="shared" si="0"/>
        <v>300</v>
      </c>
      <c r="L6" s="7">
        <v>0</v>
      </c>
      <c r="M6" s="7">
        <f t="shared" si="2"/>
        <v>300</v>
      </c>
      <c r="N6" s="22"/>
    </row>
    <row r="7" spans="1:14" ht="15.6" x14ac:dyDescent="0.3">
      <c r="A7" s="2">
        <f>_xlfn.AGGREGATE(3,3,$B$2:B7)</f>
        <v>6</v>
      </c>
      <c r="B7" s="14" t="s">
        <v>21</v>
      </c>
      <c r="C7" s="8" t="s">
        <v>22</v>
      </c>
      <c r="D7" s="3" t="s">
        <v>23</v>
      </c>
      <c r="E7" s="4" t="s">
        <v>18</v>
      </c>
      <c r="F7" s="5">
        <v>120</v>
      </c>
      <c r="G7" s="5">
        <v>48</v>
      </c>
      <c r="H7" s="6">
        <f>F7*G7/144</f>
        <v>40</v>
      </c>
      <c r="I7" s="6">
        <v>1</v>
      </c>
      <c r="J7" s="6">
        <v>60</v>
      </c>
      <c r="K7" s="7">
        <f t="shared" si="0"/>
        <v>2400</v>
      </c>
      <c r="L7" s="7">
        <f t="shared" si="1"/>
        <v>360</v>
      </c>
      <c r="M7" s="7">
        <f t="shared" si="2"/>
        <v>2760</v>
      </c>
      <c r="N7" s="22"/>
    </row>
    <row r="8" spans="1:14" ht="15.6" x14ac:dyDescent="0.3">
      <c r="A8" s="2">
        <f>_xlfn.AGGREGATE(3,3,$B$2:B8)</f>
        <v>7</v>
      </c>
      <c r="B8" s="14" t="s">
        <v>21</v>
      </c>
      <c r="C8" s="8" t="s">
        <v>22</v>
      </c>
      <c r="D8" s="3" t="s">
        <v>23</v>
      </c>
      <c r="E8" s="4" t="s">
        <v>19</v>
      </c>
      <c r="F8" s="5">
        <v>1</v>
      </c>
      <c r="G8" s="5">
        <v>1</v>
      </c>
      <c r="H8" s="6">
        <v>12</v>
      </c>
      <c r="I8" s="6">
        <v>1</v>
      </c>
      <c r="J8" s="6">
        <v>150</v>
      </c>
      <c r="K8" s="7">
        <f t="shared" si="0"/>
        <v>1800</v>
      </c>
      <c r="L8" s="7">
        <f t="shared" si="1"/>
        <v>270</v>
      </c>
      <c r="M8" s="7">
        <f t="shared" si="2"/>
        <v>2070</v>
      </c>
      <c r="N8" s="22"/>
    </row>
    <row r="9" spans="1:14" ht="15.6" x14ac:dyDescent="0.3">
      <c r="A9" s="2">
        <f>_xlfn.AGGREGATE(3,3,$B$2:B9)</f>
        <v>8</v>
      </c>
      <c r="B9" s="14" t="s">
        <v>21</v>
      </c>
      <c r="C9" s="8" t="s">
        <v>22</v>
      </c>
      <c r="D9" s="3" t="s">
        <v>23</v>
      </c>
      <c r="E9" s="9" t="s">
        <v>24</v>
      </c>
      <c r="F9" s="10">
        <v>72</v>
      </c>
      <c r="G9" s="10">
        <v>96</v>
      </c>
      <c r="H9" s="11">
        <f>F9*G9/144</f>
        <v>48</v>
      </c>
      <c r="I9" s="11">
        <v>0</v>
      </c>
      <c r="J9" s="11">
        <v>680</v>
      </c>
      <c r="K9" s="12">
        <f t="shared" si="0"/>
        <v>0</v>
      </c>
      <c r="L9" s="12">
        <f t="shared" si="1"/>
        <v>0</v>
      </c>
      <c r="M9" s="12">
        <f t="shared" si="2"/>
        <v>0</v>
      </c>
      <c r="N9" s="22" t="s">
        <v>25</v>
      </c>
    </row>
    <row r="10" spans="1:14" ht="15.6" x14ac:dyDescent="0.3">
      <c r="A10" s="2">
        <f>_xlfn.AGGREGATE(3,3,$B$2:B10)</f>
        <v>9</v>
      </c>
      <c r="B10" s="14" t="s">
        <v>21</v>
      </c>
      <c r="C10" s="8" t="s">
        <v>22</v>
      </c>
      <c r="D10" s="3" t="s">
        <v>23</v>
      </c>
      <c r="E10" s="4" t="s">
        <v>20</v>
      </c>
      <c r="F10" s="5">
        <v>1</v>
      </c>
      <c r="G10" s="5">
        <v>1</v>
      </c>
      <c r="H10" s="6">
        <v>1</v>
      </c>
      <c r="I10" s="6">
        <v>1</v>
      </c>
      <c r="J10" s="6">
        <v>300</v>
      </c>
      <c r="K10" s="7">
        <f t="shared" si="0"/>
        <v>300</v>
      </c>
      <c r="L10" s="7">
        <v>0</v>
      </c>
      <c r="M10" s="7">
        <f t="shared" si="2"/>
        <v>300</v>
      </c>
      <c r="N10" s="22"/>
    </row>
    <row r="11" spans="1:14" ht="15.6" x14ac:dyDescent="0.3">
      <c r="A11" s="2">
        <f>_xlfn.AGGREGATE(3,3,$B$2:B11)</f>
        <v>10</v>
      </c>
      <c r="B11" s="14" t="s">
        <v>26</v>
      </c>
      <c r="C11" s="2" t="s">
        <v>27</v>
      </c>
      <c r="D11" s="3" t="s">
        <v>28</v>
      </c>
      <c r="E11" s="4" t="s">
        <v>18</v>
      </c>
      <c r="F11" s="5">
        <v>132</v>
      </c>
      <c r="G11" s="5">
        <v>48</v>
      </c>
      <c r="H11" s="6">
        <f t="shared" ref="H11:H25" si="3">F11*G11/144</f>
        <v>44</v>
      </c>
      <c r="I11" s="6">
        <v>1</v>
      </c>
      <c r="J11" s="6">
        <v>60</v>
      </c>
      <c r="K11" s="7">
        <f t="shared" si="0"/>
        <v>2640</v>
      </c>
      <c r="L11" s="7">
        <f t="shared" si="1"/>
        <v>396</v>
      </c>
      <c r="M11" s="7">
        <f t="shared" si="2"/>
        <v>3036</v>
      </c>
      <c r="N11" s="22"/>
    </row>
    <row r="12" spans="1:14" ht="15.6" x14ac:dyDescent="0.3">
      <c r="A12" s="2">
        <f>_xlfn.AGGREGATE(3,3,$B$2:B12)</f>
        <v>11</v>
      </c>
      <c r="B12" s="14" t="s">
        <v>26</v>
      </c>
      <c r="C12" s="2" t="s">
        <v>27</v>
      </c>
      <c r="D12" s="3" t="s">
        <v>28</v>
      </c>
      <c r="E12" s="4" t="s">
        <v>19</v>
      </c>
      <c r="F12" s="5">
        <v>1</v>
      </c>
      <c r="G12" s="5">
        <v>1</v>
      </c>
      <c r="H12" s="6">
        <v>15</v>
      </c>
      <c r="I12" s="6">
        <v>1</v>
      </c>
      <c r="J12" s="6">
        <v>150</v>
      </c>
      <c r="K12" s="7">
        <f t="shared" si="0"/>
        <v>2250</v>
      </c>
      <c r="L12" s="7">
        <f t="shared" si="1"/>
        <v>337.5</v>
      </c>
      <c r="M12" s="7">
        <f t="shared" si="2"/>
        <v>2587.5</v>
      </c>
      <c r="N12" s="22"/>
    </row>
    <row r="13" spans="1:14" ht="15.6" x14ac:dyDescent="0.3">
      <c r="A13" s="2">
        <f>_xlfn.AGGREGATE(3,3,$B$2:B13)</f>
        <v>12</v>
      </c>
      <c r="B13" s="14" t="s">
        <v>26</v>
      </c>
      <c r="C13" s="2" t="s">
        <v>27</v>
      </c>
      <c r="D13" s="3" t="s">
        <v>28</v>
      </c>
      <c r="E13" s="9" t="s">
        <v>11</v>
      </c>
      <c r="F13" s="13">
        <v>45</v>
      </c>
      <c r="G13" s="13">
        <v>148</v>
      </c>
      <c r="H13" s="11">
        <f t="shared" si="3"/>
        <v>46.25</v>
      </c>
      <c r="I13" s="11">
        <v>0</v>
      </c>
      <c r="J13" s="11">
        <v>100</v>
      </c>
      <c r="K13" s="12">
        <f t="shared" si="0"/>
        <v>0</v>
      </c>
      <c r="L13" s="12">
        <f t="shared" si="1"/>
        <v>0</v>
      </c>
      <c r="M13" s="12">
        <f t="shared" si="2"/>
        <v>0</v>
      </c>
      <c r="N13" s="22" t="s">
        <v>29</v>
      </c>
    </row>
    <row r="14" spans="1:14" ht="15.6" x14ac:dyDescent="0.3">
      <c r="A14" s="2">
        <f>_xlfn.AGGREGATE(3,3,$B$2:B14)</f>
        <v>13</v>
      </c>
      <c r="B14" s="14" t="s">
        <v>26</v>
      </c>
      <c r="C14" s="2" t="s">
        <v>27</v>
      </c>
      <c r="D14" s="3" t="s">
        <v>28</v>
      </c>
      <c r="E14" s="9" t="s">
        <v>11</v>
      </c>
      <c r="F14" s="13">
        <v>18</v>
      </c>
      <c r="G14" s="13">
        <v>31</v>
      </c>
      <c r="H14" s="11">
        <f t="shared" si="3"/>
        <v>3.875</v>
      </c>
      <c r="I14" s="11">
        <v>0</v>
      </c>
      <c r="J14" s="11">
        <v>100</v>
      </c>
      <c r="K14" s="12">
        <f t="shared" si="0"/>
        <v>0</v>
      </c>
      <c r="L14" s="12">
        <f t="shared" si="1"/>
        <v>0</v>
      </c>
      <c r="M14" s="12">
        <f t="shared" si="2"/>
        <v>0</v>
      </c>
      <c r="N14" s="22" t="s">
        <v>29</v>
      </c>
    </row>
    <row r="15" spans="1:14" ht="15.6" x14ac:dyDescent="0.3">
      <c r="A15" s="2">
        <f>_xlfn.AGGREGATE(3,3,$B$2:B15)</f>
        <v>14</v>
      </c>
      <c r="B15" s="14" t="s">
        <v>26</v>
      </c>
      <c r="C15" s="2" t="s">
        <v>27</v>
      </c>
      <c r="D15" s="3" t="s">
        <v>28</v>
      </c>
      <c r="E15" s="9" t="s">
        <v>11</v>
      </c>
      <c r="F15" s="13">
        <v>18</v>
      </c>
      <c r="G15" s="13">
        <v>31</v>
      </c>
      <c r="H15" s="11">
        <f t="shared" si="3"/>
        <v>3.875</v>
      </c>
      <c r="I15" s="11">
        <v>0</v>
      </c>
      <c r="J15" s="11">
        <v>100</v>
      </c>
      <c r="K15" s="12">
        <f t="shared" si="0"/>
        <v>0</v>
      </c>
      <c r="L15" s="12">
        <f t="shared" si="1"/>
        <v>0</v>
      </c>
      <c r="M15" s="12">
        <f t="shared" si="2"/>
        <v>0</v>
      </c>
      <c r="N15" s="22" t="s">
        <v>29</v>
      </c>
    </row>
    <row r="16" spans="1:14" ht="15.6" x14ac:dyDescent="0.3">
      <c r="A16" s="2">
        <f>_xlfn.AGGREGATE(3,3,$B$2:B16)</f>
        <v>15</v>
      </c>
      <c r="B16" s="14" t="s">
        <v>26</v>
      </c>
      <c r="C16" s="2" t="s">
        <v>27</v>
      </c>
      <c r="D16" s="3" t="s">
        <v>28</v>
      </c>
      <c r="E16" s="9" t="s">
        <v>11</v>
      </c>
      <c r="F16" s="13">
        <v>134</v>
      </c>
      <c r="G16" s="13">
        <v>31</v>
      </c>
      <c r="H16" s="11">
        <f t="shared" si="3"/>
        <v>28.847222222222221</v>
      </c>
      <c r="I16" s="11">
        <v>0</v>
      </c>
      <c r="J16" s="11">
        <v>100</v>
      </c>
      <c r="K16" s="12">
        <f t="shared" si="0"/>
        <v>0</v>
      </c>
      <c r="L16" s="12">
        <f t="shared" si="1"/>
        <v>0</v>
      </c>
      <c r="M16" s="12">
        <f t="shared" si="2"/>
        <v>0</v>
      </c>
      <c r="N16" s="22" t="s">
        <v>29</v>
      </c>
    </row>
    <row r="17" spans="1:14" ht="15.6" x14ac:dyDescent="0.3">
      <c r="A17" s="2">
        <f>_xlfn.AGGREGATE(3,3,$B$2:B17)</f>
        <v>16</v>
      </c>
      <c r="B17" s="14" t="s">
        <v>26</v>
      </c>
      <c r="C17" s="2" t="s">
        <v>27</v>
      </c>
      <c r="D17" s="3" t="s">
        <v>28</v>
      </c>
      <c r="E17" s="9" t="s">
        <v>11</v>
      </c>
      <c r="F17" s="13">
        <v>118</v>
      </c>
      <c r="G17" s="13">
        <v>149</v>
      </c>
      <c r="H17" s="11">
        <f t="shared" si="3"/>
        <v>122.09722222222223</v>
      </c>
      <c r="I17" s="11">
        <v>0</v>
      </c>
      <c r="J17" s="11">
        <v>100</v>
      </c>
      <c r="K17" s="12">
        <f t="shared" si="0"/>
        <v>0</v>
      </c>
      <c r="L17" s="12">
        <f t="shared" si="1"/>
        <v>0</v>
      </c>
      <c r="M17" s="12">
        <f t="shared" si="2"/>
        <v>0</v>
      </c>
      <c r="N17" s="22" t="s">
        <v>29</v>
      </c>
    </row>
    <row r="18" spans="1:14" ht="15.6" x14ac:dyDescent="0.3">
      <c r="A18" s="2">
        <f>_xlfn.AGGREGATE(3,3,$B$2:B18)</f>
        <v>17</v>
      </c>
      <c r="B18" s="14" t="s">
        <v>26</v>
      </c>
      <c r="C18" s="2" t="s">
        <v>27</v>
      </c>
      <c r="D18" s="3" t="s">
        <v>28</v>
      </c>
      <c r="E18" s="9" t="s">
        <v>24</v>
      </c>
      <c r="F18" s="13">
        <v>72</v>
      </c>
      <c r="G18" s="13">
        <v>96</v>
      </c>
      <c r="H18" s="11">
        <f t="shared" si="3"/>
        <v>48</v>
      </c>
      <c r="I18" s="11">
        <v>0</v>
      </c>
      <c r="J18" s="11">
        <v>680</v>
      </c>
      <c r="K18" s="12">
        <f t="shared" si="0"/>
        <v>0</v>
      </c>
      <c r="L18" s="12">
        <f t="shared" si="1"/>
        <v>0</v>
      </c>
      <c r="M18" s="12">
        <f t="shared" si="2"/>
        <v>0</v>
      </c>
      <c r="N18" s="22" t="s">
        <v>25</v>
      </c>
    </row>
    <row r="19" spans="1:14" ht="15.6" x14ac:dyDescent="0.3">
      <c r="A19" s="2">
        <f>_xlfn.AGGREGATE(3,3,$B$2:B19)</f>
        <v>18</v>
      </c>
      <c r="B19" s="14" t="s">
        <v>26</v>
      </c>
      <c r="C19" s="2" t="s">
        <v>27</v>
      </c>
      <c r="D19" s="3" t="s">
        <v>28</v>
      </c>
      <c r="E19" s="4" t="s">
        <v>20</v>
      </c>
      <c r="F19" s="5">
        <v>1</v>
      </c>
      <c r="G19" s="5">
        <v>1</v>
      </c>
      <c r="H19" s="6">
        <v>1</v>
      </c>
      <c r="I19" s="6">
        <v>1</v>
      </c>
      <c r="J19" s="6">
        <v>300</v>
      </c>
      <c r="K19" s="7">
        <f t="shared" si="0"/>
        <v>300</v>
      </c>
      <c r="L19" s="7">
        <v>0</v>
      </c>
      <c r="M19" s="7">
        <f t="shared" si="2"/>
        <v>300</v>
      </c>
      <c r="N19" s="22"/>
    </row>
    <row r="20" spans="1:14" ht="15.6" x14ac:dyDescent="0.3">
      <c r="A20" s="2">
        <f>_xlfn.AGGREGATE(3,3,$B$2:B20)</f>
        <v>19</v>
      </c>
      <c r="B20" s="14" t="s">
        <v>30</v>
      </c>
      <c r="C20" s="2" t="s">
        <v>31</v>
      </c>
      <c r="D20" s="3" t="s">
        <v>32</v>
      </c>
      <c r="E20" s="4" t="s">
        <v>33</v>
      </c>
      <c r="F20" s="5">
        <v>240</v>
      </c>
      <c r="G20" s="5">
        <v>48</v>
      </c>
      <c r="H20" s="6">
        <f t="shared" si="3"/>
        <v>80</v>
      </c>
      <c r="I20" s="6">
        <v>1</v>
      </c>
      <c r="J20" s="6">
        <v>400</v>
      </c>
      <c r="K20" s="7">
        <f t="shared" si="0"/>
        <v>32000</v>
      </c>
      <c r="L20" s="7">
        <f t="shared" si="1"/>
        <v>4800</v>
      </c>
      <c r="M20" s="7">
        <f t="shared" si="2"/>
        <v>36800</v>
      </c>
      <c r="N20" s="22"/>
    </row>
    <row r="21" spans="1:14" ht="15.6" x14ac:dyDescent="0.3">
      <c r="A21" s="2">
        <f>_xlfn.AGGREGATE(3,3,$B$2:B21)</f>
        <v>20</v>
      </c>
      <c r="B21" s="14" t="s">
        <v>30</v>
      </c>
      <c r="C21" s="2" t="s">
        <v>31</v>
      </c>
      <c r="D21" s="3" t="s">
        <v>32</v>
      </c>
      <c r="E21" s="4" t="s">
        <v>19</v>
      </c>
      <c r="F21" s="5">
        <v>1</v>
      </c>
      <c r="G21" s="5">
        <v>1</v>
      </c>
      <c r="H21" s="6">
        <v>30</v>
      </c>
      <c r="I21" s="6">
        <v>1</v>
      </c>
      <c r="J21" s="6">
        <v>150</v>
      </c>
      <c r="K21" s="7">
        <f t="shared" si="0"/>
        <v>4500</v>
      </c>
      <c r="L21" s="7">
        <f t="shared" si="1"/>
        <v>675</v>
      </c>
      <c r="M21" s="7">
        <f t="shared" si="2"/>
        <v>5175</v>
      </c>
      <c r="N21" s="22"/>
    </row>
    <row r="22" spans="1:14" ht="15.6" x14ac:dyDescent="0.3">
      <c r="A22" s="2">
        <f>_xlfn.AGGREGATE(3,3,$B$2:B22)</f>
        <v>21</v>
      </c>
      <c r="B22" s="14" t="s">
        <v>30</v>
      </c>
      <c r="C22" s="2" t="s">
        <v>31</v>
      </c>
      <c r="D22" s="3" t="s">
        <v>32</v>
      </c>
      <c r="E22" s="4" t="s">
        <v>11</v>
      </c>
      <c r="F22" s="5">
        <v>21</v>
      </c>
      <c r="G22" s="5">
        <v>96</v>
      </c>
      <c r="H22" s="6">
        <f t="shared" si="3"/>
        <v>14</v>
      </c>
      <c r="I22" s="6">
        <v>1</v>
      </c>
      <c r="J22" s="6">
        <v>100</v>
      </c>
      <c r="K22" s="7">
        <f t="shared" si="0"/>
        <v>1400</v>
      </c>
      <c r="L22" s="7">
        <f t="shared" si="1"/>
        <v>210</v>
      </c>
      <c r="M22" s="7">
        <f t="shared" si="2"/>
        <v>1610</v>
      </c>
      <c r="N22" s="22"/>
    </row>
    <row r="23" spans="1:14" ht="15.6" x14ac:dyDescent="0.3">
      <c r="A23" s="2">
        <f>_xlfn.AGGREGATE(3,3,$B$2:B23)</f>
        <v>22</v>
      </c>
      <c r="B23" s="14" t="s">
        <v>30</v>
      </c>
      <c r="C23" s="2" t="s">
        <v>31</v>
      </c>
      <c r="D23" s="3" t="s">
        <v>32</v>
      </c>
      <c r="E23" s="4" t="s">
        <v>11</v>
      </c>
      <c r="F23" s="5">
        <v>14</v>
      </c>
      <c r="G23" s="5">
        <v>96</v>
      </c>
      <c r="H23" s="6">
        <f t="shared" si="3"/>
        <v>9.3333333333333339</v>
      </c>
      <c r="I23" s="6">
        <v>1</v>
      </c>
      <c r="J23" s="6">
        <v>100</v>
      </c>
      <c r="K23" s="7">
        <f t="shared" si="0"/>
        <v>933.33333333333337</v>
      </c>
      <c r="L23" s="7">
        <f t="shared" si="1"/>
        <v>140</v>
      </c>
      <c r="M23" s="7">
        <f t="shared" si="2"/>
        <v>1073.3333333333335</v>
      </c>
      <c r="N23" s="22"/>
    </row>
    <row r="24" spans="1:14" ht="15.6" x14ac:dyDescent="0.3">
      <c r="A24" s="2">
        <f>_xlfn.AGGREGATE(3,3,$B$2:B24)</f>
        <v>23</v>
      </c>
      <c r="B24" s="14" t="s">
        <v>30</v>
      </c>
      <c r="C24" s="2" t="s">
        <v>31</v>
      </c>
      <c r="D24" s="3" t="s">
        <v>32</v>
      </c>
      <c r="E24" s="4" t="s">
        <v>11</v>
      </c>
      <c r="F24" s="5">
        <v>15</v>
      </c>
      <c r="G24" s="5">
        <v>96</v>
      </c>
      <c r="H24" s="6">
        <f t="shared" si="3"/>
        <v>10</v>
      </c>
      <c r="I24" s="6">
        <v>1</v>
      </c>
      <c r="J24" s="6">
        <v>100</v>
      </c>
      <c r="K24" s="7">
        <f t="shared" si="0"/>
        <v>1000</v>
      </c>
      <c r="L24" s="7">
        <f t="shared" si="1"/>
        <v>150</v>
      </c>
      <c r="M24" s="7">
        <f t="shared" si="2"/>
        <v>1150</v>
      </c>
      <c r="N24" s="22"/>
    </row>
    <row r="25" spans="1:14" ht="15.6" x14ac:dyDescent="0.3">
      <c r="A25" s="2">
        <f>_xlfn.AGGREGATE(3,3,$B$2:B25)</f>
        <v>24</v>
      </c>
      <c r="B25" s="14" t="s">
        <v>30</v>
      </c>
      <c r="C25" s="2" t="s">
        <v>31</v>
      </c>
      <c r="D25" s="3" t="s">
        <v>32</v>
      </c>
      <c r="E25" s="9" t="s">
        <v>34</v>
      </c>
      <c r="F25" s="13">
        <v>115</v>
      </c>
      <c r="G25" s="13">
        <v>120</v>
      </c>
      <c r="H25" s="11">
        <f t="shared" si="3"/>
        <v>95.833333333333329</v>
      </c>
      <c r="I25" s="11">
        <v>0</v>
      </c>
      <c r="J25" s="11">
        <v>800</v>
      </c>
      <c r="K25" s="12">
        <f t="shared" si="0"/>
        <v>0</v>
      </c>
      <c r="L25" s="12">
        <f t="shared" si="1"/>
        <v>0</v>
      </c>
      <c r="M25" s="12">
        <f t="shared" si="2"/>
        <v>0</v>
      </c>
      <c r="N25" s="22" t="s">
        <v>25</v>
      </c>
    </row>
    <row r="26" spans="1:14" ht="15.6" x14ac:dyDescent="0.3">
      <c r="A26" s="2">
        <f>_xlfn.AGGREGATE(3,3,$B$2:B26)</f>
        <v>25</v>
      </c>
      <c r="B26" s="14" t="s">
        <v>30</v>
      </c>
      <c r="C26" s="2" t="s">
        <v>31</v>
      </c>
      <c r="D26" s="3" t="s">
        <v>32</v>
      </c>
      <c r="E26" s="4" t="s">
        <v>20</v>
      </c>
      <c r="F26" s="5">
        <v>1</v>
      </c>
      <c r="G26" s="5">
        <v>1</v>
      </c>
      <c r="H26" s="6">
        <v>1</v>
      </c>
      <c r="I26" s="6">
        <v>1</v>
      </c>
      <c r="J26" s="6">
        <v>300</v>
      </c>
      <c r="K26" s="7">
        <f t="shared" si="0"/>
        <v>300</v>
      </c>
      <c r="L26" s="7">
        <v>0</v>
      </c>
      <c r="M26" s="7">
        <f t="shared" si="2"/>
        <v>300</v>
      </c>
      <c r="N26" s="22"/>
    </row>
  </sheetData>
  <autoFilter ref="A1:N1" xr:uid="{DB4CA806-72C8-4014-9EA8-003673FE633A}"/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Dart</cp:lastModifiedBy>
  <dcterms:created xsi:type="dcterms:W3CDTF">2023-07-14T20:47:26Z</dcterms:created>
  <dcterms:modified xsi:type="dcterms:W3CDTF">2025-02-28T06:38:33Z</dcterms:modified>
</cp:coreProperties>
</file>